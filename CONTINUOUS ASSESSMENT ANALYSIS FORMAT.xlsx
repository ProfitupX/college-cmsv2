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CA - 1" sheetId="4" r:id="rId1"/>
    <sheet name="Sheet1" sheetId="1" r:id="rId2"/>
    <sheet name="Sheet2" sheetId="2" r:id="rId3"/>
    <sheet name="Sheet3" sheetId="3" r:id="rId4"/>
  </sheets>
  <calcPr calcId="125725"/>
</workbook>
</file>

<file path=xl/calcChain.xml><?xml version="1.0" encoding="utf-8"?>
<calcChain xmlns="http://schemas.openxmlformats.org/spreadsheetml/2006/main">
  <c r="G39" i="4"/>
  <c r="G37"/>
  <c r="E27"/>
  <c r="F27" s="1"/>
  <c r="D27"/>
  <c r="D35"/>
  <c r="D36" s="1"/>
  <c r="D41"/>
  <c r="E41"/>
  <c r="F40"/>
  <c r="F39"/>
  <c r="F38"/>
  <c r="F37"/>
  <c r="E35"/>
  <c r="F34"/>
  <c r="F33"/>
  <c r="F32"/>
  <c r="F31"/>
  <c r="F30"/>
  <c r="F29"/>
  <c r="G28"/>
  <c r="F28"/>
  <c r="F26"/>
  <c r="F25"/>
  <c r="G24"/>
  <c r="F24"/>
  <c r="F23"/>
  <c r="F22"/>
  <c r="G21"/>
  <c r="F21"/>
  <c r="F20"/>
  <c r="F19"/>
  <c r="G18"/>
  <c r="F18"/>
  <c r="F17"/>
  <c r="F16"/>
  <c r="G15"/>
  <c r="F15"/>
  <c r="F14"/>
  <c r="F13"/>
  <c r="G12"/>
  <c r="F12"/>
  <c r="F11"/>
  <c r="F10"/>
  <c r="G9"/>
  <c r="F9"/>
  <c r="F8"/>
  <c r="F7"/>
  <c r="G6"/>
  <c r="F6"/>
  <c r="D42" l="1"/>
  <c r="F41"/>
  <c r="E36"/>
  <c r="F36" s="1"/>
  <c r="F35"/>
  <c r="E42" l="1"/>
  <c r="F42" s="1"/>
</calcChain>
</file>

<file path=xl/sharedStrings.xml><?xml version="1.0" encoding="utf-8"?>
<sst xmlns="http://schemas.openxmlformats.org/spreadsheetml/2006/main" count="57" uniqueCount="28">
  <si>
    <t>NADAR SARASWATHI COLLEGE OF ENGINEERING AND TECHNOLOGY</t>
  </si>
  <si>
    <t>VADAPUDUPATTI, THENI – 625 531</t>
  </si>
  <si>
    <t>Department</t>
  </si>
  <si>
    <t>Year</t>
  </si>
  <si>
    <t>Passed</t>
  </si>
  <si>
    <t>Percentage</t>
  </si>
  <si>
    <t>B.E., (Civil)</t>
  </si>
  <si>
    <t>II</t>
  </si>
  <si>
    <t>III</t>
  </si>
  <si>
    <t>IV</t>
  </si>
  <si>
    <t>B.E.,  (CSE)</t>
  </si>
  <si>
    <t>B.E., (EEE)</t>
  </si>
  <si>
    <t>B.E., (ECE)</t>
  </si>
  <si>
    <t>B.E., (Mech)</t>
  </si>
  <si>
    <t>B.Tech., (IT)</t>
  </si>
  <si>
    <t>B.Tech., (AI&amp;DS)</t>
  </si>
  <si>
    <t>Pass Percentage With out First Year</t>
  </si>
  <si>
    <t>I</t>
  </si>
  <si>
    <t>Pass Percentage for First Year</t>
  </si>
  <si>
    <t>UG Overall Pass Percentage</t>
  </si>
  <si>
    <t>M.E., (MFE)</t>
  </si>
  <si>
    <t>M.E., (SE)</t>
  </si>
  <si>
    <t>PG Overall Pass Percentage</t>
  </si>
  <si>
    <t>College Overall Pass Percentage</t>
  </si>
  <si>
    <t>Principal</t>
  </si>
  <si>
    <t>CONTINUOUS ASSESSMENT -  1 ANALYSIS</t>
  </si>
  <si>
    <t>Strength</t>
  </si>
  <si>
    <t>Percentage (Over all)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</si>
</sst>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0</xdr:row>
      <xdr:rowOff>161925</xdr:rowOff>
    </xdr:from>
    <xdr:to>
      <xdr:col>2</xdr:col>
      <xdr:colOff>114300</xdr:colOff>
      <xdr:row>3</xdr:row>
      <xdr:rowOff>182880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590550" cy="60198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topLeftCell="B28" workbookViewId="0">
      <selection activeCell="J11" sqref="J11"/>
    </sheetView>
  </sheetViews>
  <sheetFormatPr defaultRowHeight="15"/>
  <cols>
    <col min="1" max="1" width="0" hidden="1" customWidth="1"/>
    <col min="2" max="2" width="14.28515625" bestFit="1" customWidth="1"/>
    <col min="4" max="4" width="11.42578125" customWidth="1"/>
    <col min="6" max="6" width="11.5703125" bestFit="1" customWidth="1"/>
    <col min="7" max="7" width="23.85546875" customWidth="1"/>
  </cols>
  <sheetData>
    <row r="1" spans="1:8" ht="15" customHeight="1">
      <c r="A1" s="1" t="s">
        <v>0</v>
      </c>
      <c r="B1" s="1"/>
      <c r="C1" s="1"/>
      <c r="D1" s="1"/>
      <c r="E1" s="1"/>
      <c r="F1" s="1"/>
      <c r="G1" s="1"/>
    </row>
    <row r="2" spans="1:8" ht="15.75">
      <c r="A2" s="1" t="s">
        <v>1</v>
      </c>
      <c r="B2" s="1"/>
      <c r="C2" s="1"/>
      <c r="D2" s="1"/>
      <c r="E2" s="1"/>
      <c r="F2" s="1"/>
      <c r="G2" s="1"/>
    </row>
    <row r="3" spans="1:8">
      <c r="A3" s="2" t="s">
        <v>25</v>
      </c>
      <c r="B3" s="2"/>
      <c r="C3" s="2"/>
      <c r="D3" s="2"/>
      <c r="E3" s="2"/>
      <c r="F3" s="2"/>
      <c r="G3" s="2"/>
    </row>
    <row r="4" spans="1:8">
      <c r="D4" s="3"/>
      <c r="E4" s="3"/>
    </row>
    <row r="5" spans="1:8">
      <c r="B5" s="4" t="s">
        <v>2</v>
      </c>
      <c r="C5" s="4" t="s">
        <v>3</v>
      </c>
      <c r="D5" s="4" t="s">
        <v>26</v>
      </c>
      <c r="E5" s="4" t="s">
        <v>4</v>
      </c>
      <c r="F5" s="4" t="s">
        <v>5</v>
      </c>
      <c r="G5" s="5" t="s">
        <v>27</v>
      </c>
      <c r="H5" s="6"/>
    </row>
    <row r="6" spans="1:8">
      <c r="B6" s="7" t="s">
        <v>6</v>
      </c>
      <c r="C6" s="8" t="s">
        <v>7</v>
      </c>
      <c r="D6" s="9">
        <v>27</v>
      </c>
      <c r="E6" s="9">
        <v>0</v>
      </c>
      <c r="F6" s="10">
        <f>(E6/D6)*100</f>
        <v>0</v>
      </c>
      <c r="G6" s="11">
        <f>((E6+E7+E8)/(D6+D7+D8))*100</f>
        <v>0</v>
      </c>
      <c r="H6" s="6"/>
    </row>
    <row r="7" spans="1:8">
      <c r="B7" s="12"/>
      <c r="C7" s="8" t="s">
        <v>8</v>
      </c>
      <c r="D7" s="9">
        <v>18</v>
      </c>
      <c r="E7" s="9">
        <v>0</v>
      </c>
      <c r="F7" s="10">
        <f>(E7/D7)*100</f>
        <v>0</v>
      </c>
      <c r="G7" s="11"/>
      <c r="H7" s="6"/>
    </row>
    <row r="8" spans="1:8">
      <c r="B8" s="13"/>
      <c r="C8" s="8" t="s">
        <v>9</v>
      </c>
      <c r="D8" s="9">
        <v>21</v>
      </c>
      <c r="E8" s="9">
        <v>0</v>
      </c>
      <c r="F8" s="10">
        <f>(E8/D8)*100</f>
        <v>0</v>
      </c>
      <c r="G8" s="11"/>
      <c r="H8" s="6"/>
    </row>
    <row r="9" spans="1:8">
      <c r="B9" s="7" t="s">
        <v>10</v>
      </c>
      <c r="C9" s="8" t="s">
        <v>7</v>
      </c>
      <c r="D9" s="9">
        <v>57</v>
      </c>
      <c r="E9" s="9">
        <v>0</v>
      </c>
      <c r="F9" s="10">
        <f>(E9/D9)*100</f>
        <v>0</v>
      </c>
      <c r="G9" s="11">
        <f>((E9+E10+E11)/(D9+D10+D11))*100</f>
        <v>0</v>
      </c>
      <c r="H9" s="6"/>
    </row>
    <row r="10" spans="1:8">
      <c r="B10" s="12"/>
      <c r="C10" s="8" t="s">
        <v>8</v>
      </c>
      <c r="D10" s="9">
        <v>49</v>
      </c>
      <c r="E10" s="9">
        <v>0</v>
      </c>
      <c r="F10" s="10">
        <f>(E10/D10)*100</f>
        <v>0</v>
      </c>
      <c r="G10" s="11"/>
      <c r="H10" s="6"/>
    </row>
    <row r="11" spans="1:8">
      <c r="B11" s="13"/>
      <c r="C11" s="8" t="s">
        <v>9</v>
      </c>
      <c r="D11" s="9">
        <v>63</v>
      </c>
      <c r="E11" s="9">
        <v>0</v>
      </c>
      <c r="F11" s="10">
        <f>(E11/D11)*100</f>
        <v>0</v>
      </c>
      <c r="G11" s="11"/>
      <c r="H11" s="6"/>
    </row>
    <row r="12" spans="1:8">
      <c r="B12" s="7" t="s">
        <v>11</v>
      </c>
      <c r="C12" s="8" t="s">
        <v>7</v>
      </c>
      <c r="D12" s="9">
        <v>27</v>
      </c>
      <c r="E12" s="9">
        <v>0</v>
      </c>
      <c r="F12" s="10">
        <f>(E12/D12)*100</f>
        <v>0</v>
      </c>
      <c r="G12" s="11">
        <f>((E12+E13+E14)/(D12+D13+D14))*100</f>
        <v>0</v>
      </c>
      <c r="H12" s="6"/>
    </row>
    <row r="13" spans="1:8">
      <c r="B13" s="12"/>
      <c r="C13" s="8" t="s">
        <v>8</v>
      </c>
      <c r="D13" s="9">
        <v>31</v>
      </c>
      <c r="E13" s="9">
        <v>0</v>
      </c>
      <c r="F13" s="10">
        <f>(E13/D13)*100</f>
        <v>0</v>
      </c>
      <c r="G13" s="11"/>
      <c r="H13" s="6"/>
    </row>
    <row r="14" spans="1:8">
      <c r="B14" s="13"/>
      <c r="C14" s="8" t="s">
        <v>9</v>
      </c>
      <c r="D14" s="9">
        <v>31</v>
      </c>
      <c r="E14" s="9">
        <v>0</v>
      </c>
      <c r="F14" s="10">
        <f>(E14/D14)*100</f>
        <v>0</v>
      </c>
      <c r="G14" s="11"/>
      <c r="H14" s="6"/>
    </row>
    <row r="15" spans="1:8">
      <c r="B15" s="7" t="s">
        <v>12</v>
      </c>
      <c r="C15" s="8" t="s">
        <v>7</v>
      </c>
      <c r="D15" s="9">
        <v>45</v>
      </c>
      <c r="E15" s="9">
        <v>0</v>
      </c>
      <c r="F15" s="10">
        <f>(E15/D15)*100</f>
        <v>0</v>
      </c>
      <c r="G15" s="11">
        <f>((E15+E16+E17)/(D15+D16+D17))*100</f>
        <v>0</v>
      </c>
      <c r="H15" s="6"/>
    </row>
    <row r="16" spans="1:8">
      <c r="B16" s="12"/>
      <c r="C16" s="8" t="s">
        <v>8</v>
      </c>
      <c r="D16" s="9">
        <v>49</v>
      </c>
      <c r="E16" s="9">
        <v>0</v>
      </c>
      <c r="F16" s="10">
        <f>(E16/D16)*100</f>
        <v>0</v>
      </c>
      <c r="G16" s="11"/>
      <c r="H16" s="6"/>
    </row>
    <row r="17" spans="2:8">
      <c r="B17" s="13"/>
      <c r="C17" s="8" t="s">
        <v>9</v>
      </c>
      <c r="D17" s="9">
        <v>59</v>
      </c>
      <c r="E17" s="9">
        <v>0</v>
      </c>
      <c r="F17" s="10">
        <f>(E17/D17)*100</f>
        <v>0</v>
      </c>
      <c r="G17" s="11"/>
      <c r="H17" s="6"/>
    </row>
    <row r="18" spans="2:8">
      <c r="B18" s="7" t="s">
        <v>13</v>
      </c>
      <c r="C18" s="8" t="s">
        <v>7</v>
      </c>
      <c r="D18" s="9">
        <v>31</v>
      </c>
      <c r="E18" s="9">
        <v>0</v>
      </c>
      <c r="F18" s="10">
        <f>(E18/D18)*100</f>
        <v>0</v>
      </c>
      <c r="G18" s="11">
        <f>((E18+E19+E20)/(D18+D19+D20))*100</f>
        <v>0</v>
      </c>
      <c r="H18" s="6"/>
    </row>
    <row r="19" spans="2:8">
      <c r="B19" s="12"/>
      <c r="C19" s="8" t="s">
        <v>8</v>
      </c>
      <c r="D19" s="9">
        <v>10</v>
      </c>
      <c r="E19" s="9">
        <v>0</v>
      </c>
      <c r="F19" s="10">
        <f>(E19/D19)*100</f>
        <v>0</v>
      </c>
      <c r="G19" s="11"/>
      <c r="H19" s="6"/>
    </row>
    <row r="20" spans="2:8">
      <c r="B20" s="13"/>
      <c r="C20" s="8" t="s">
        <v>9</v>
      </c>
      <c r="D20" s="9">
        <v>21</v>
      </c>
      <c r="E20" s="9">
        <v>0</v>
      </c>
      <c r="F20" s="10">
        <f>(E20/D20)*100</f>
        <v>0</v>
      </c>
      <c r="G20" s="11"/>
      <c r="H20" s="6"/>
    </row>
    <row r="21" spans="2:8">
      <c r="B21" s="7" t="s">
        <v>14</v>
      </c>
      <c r="C21" s="8" t="s">
        <v>7</v>
      </c>
      <c r="D21" s="9">
        <v>43</v>
      </c>
      <c r="E21" s="9">
        <v>0</v>
      </c>
      <c r="F21" s="10">
        <f>(E21/D21)*100</f>
        <v>0</v>
      </c>
      <c r="G21" s="14">
        <f>((E21+E22+E23)/(D21+D22+D23))*100</f>
        <v>0</v>
      </c>
      <c r="H21" s="6"/>
    </row>
    <row r="22" spans="2:8">
      <c r="B22" s="12"/>
      <c r="C22" s="8" t="s">
        <v>8</v>
      </c>
      <c r="D22" s="9">
        <v>27</v>
      </c>
      <c r="E22" s="9">
        <v>0</v>
      </c>
      <c r="F22" s="10">
        <f>(E22/D22)*100</f>
        <v>0</v>
      </c>
      <c r="G22" s="15"/>
      <c r="H22" s="6"/>
    </row>
    <row r="23" spans="2:8">
      <c r="B23" s="13"/>
      <c r="C23" s="8" t="s">
        <v>9</v>
      </c>
      <c r="D23" s="9">
        <v>25</v>
      </c>
      <c r="E23" s="9">
        <v>0</v>
      </c>
      <c r="F23" s="10">
        <f>(E23/D23)*100</f>
        <v>0</v>
      </c>
      <c r="G23" s="16"/>
      <c r="H23" s="6"/>
    </row>
    <row r="24" spans="2:8" ht="13.5" customHeight="1">
      <c r="B24" s="17" t="s">
        <v>15</v>
      </c>
      <c r="C24" s="8" t="s">
        <v>7</v>
      </c>
      <c r="D24" s="9">
        <v>49</v>
      </c>
      <c r="E24" s="9">
        <v>0</v>
      </c>
      <c r="F24" s="10">
        <f>(E24/D24)*100</f>
        <v>0</v>
      </c>
      <c r="G24" s="14">
        <f>((E24+E25+E26)/(D24+D25+D26))*100</f>
        <v>0</v>
      </c>
      <c r="H24" s="6"/>
    </row>
    <row r="25" spans="2:8" ht="13.5" customHeight="1">
      <c r="B25" s="18"/>
      <c r="C25" s="8" t="s">
        <v>8</v>
      </c>
      <c r="D25" s="9">
        <v>26</v>
      </c>
      <c r="E25" s="9">
        <v>0</v>
      </c>
      <c r="F25" s="10">
        <f>(E25/D25)*100</f>
        <v>0</v>
      </c>
      <c r="G25" s="15"/>
      <c r="H25" s="6"/>
    </row>
    <row r="26" spans="2:8">
      <c r="B26" s="19"/>
      <c r="C26" s="8" t="s">
        <v>9</v>
      </c>
      <c r="D26" s="9">
        <v>20</v>
      </c>
      <c r="E26" s="9">
        <v>0</v>
      </c>
      <c r="F26" s="10">
        <f>(E26/D26)*100</f>
        <v>0</v>
      </c>
      <c r="G26" s="16"/>
      <c r="H26" s="6"/>
    </row>
    <row r="27" spans="2:8" ht="33" customHeight="1">
      <c r="B27" s="20" t="s">
        <v>16</v>
      </c>
      <c r="C27" s="21"/>
      <c r="D27" s="4">
        <f t="shared" ref="D27:E27" si="0">SUM(D6:D26)</f>
        <v>729</v>
      </c>
      <c r="E27" s="4">
        <f t="shared" si="0"/>
        <v>0</v>
      </c>
      <c r="F27" s="22">
        <f>(E27/D27)*100</f>
        <v>0</v>
      </c>
      <c r="G27" s="23"/>
      <c r="H27" s="6"/>
    </row>
    <row r="28" spans="2:8">
      <c r="B28" s="24" t="s">
        <v>6</v>
      </c>
      <c r="C28" s="25" t="s">
        <v>17</v>
      </c>
      <c r="D28" s="9">
        <v>32</v>
      </c>
      <c r="E28" s="9">
        <v>0</v>
      </c>
      <c r="F28" s="10">
        <f>(E28/D28)*100</f>
        <v>0</v>
      </c>
      <c r="G28" s="14">
        <f>(E28+E29+E30+E31+E32+E33+E34)/(D28+D29+D30+D31+D32+D33+D34)*100</f>
        <v>0</v>
      </c>
      <c r="H28" s="6"/>
    </row>
    <row r="29" spans="2:8">
      <c r="B29" s="24" t="s">
        <v>10</v>
      </c>
      <c r="C29" s="25"/>
      <c r="D29" s="9">
        <v>59</v>
      </c>
      <c r="E29" s="9">
        <v>0</v>
      </c>
      <c r="F29" s="10">
        <f>(E29/D29)*100</f>
        <v>0</v>
      </c>
      <c r="G29" s="15"/>
      <c r="H29" s="6"/>
    </row>
    <row r="30" spans="2:8">
      <c r="B30" s="24" t="s">
        <v>11</v>
      </c>
      <c r="C30" s="25"/>
      <c r="D30" s="9">
        <v>60</v>
      </c>
      <c r="E30" s="9">
        <v>0</v>
      </c>
      <c r="F30" s="10">
        <f>(E30/D30)*100</f>
        <v>0</v>
      </c>
      <c r="G30" s="15"/>
      <c r="H30" s="6"/>
    </row>
    <row r="31" spans="2:8">
      <c r="B31" s="24" t="s">
        <v>12</v>
      </c>
      <c r="C31" s="25"/>
      <c r="D31" s="9">
        <v>58</v>
      </c>
      <c r="E31" s="9">
        <v>0</v>
      </c>
      <c r="F31" s="10">
        <f>(E31/D31)*100</f>
        <v>0</v>
      </c>
      <c r="G31" s="15"/>
      <c r="H31" s="6"/>
    </row>
    <row r="32" spans="2:8">
      <c r="B32" s="24" t="s">
        <v>13</v>
      </c>
      <c r="C32" s="25"/>
      <c r="D32" s="9">
        <v>42</v>
      </c>
      <c r="E32" s="9">
        <v>0</v>
      </c>
      <c r="F32" s="10">
        <f>(E32/D32)*100</f>
        <v>0</v>
      </c>
      <c r="G32" s="15"/>
      <c r="H32" s="6"/>
    </row>
    <row r="33" spans="2:8">
      <c r="B33" s="24" t="s">
        <v>14</v>
      </c>
      <c r="C33" s="25"/>
      <c r="D33" s="9">
        <v>60</v>
      </c>
      <c r="E33" s="9">
        <v>0</v>
      </c>
      <c r="F33" s="10">
        <f>(E33/D33)*100</f>
        <v>0</v>
      </c>
      <c r="G33" s="15"/>
      <c r="H33" s="6"/>
    </row>
    <row r="34" spans="2:8">
      <c r="B34" s="8" t="s">
        <v>15</v>
      </c>
      <c r="C34" s="25"/>
      <c r="D34" s="9">
        <v>57</v>
      </c>
      <c r="E34" s="9">
        <v>0</v>
      </c>
      <c r="F34" s="10">
        <f>(E34/D34)*100</f>
        <v>0</v>
      </c>
      <c r="G34" s="15"/>
      <c r="H34" s="6"/>
    </row>
    <row r="35" spans="2:8" ht="28.15" customHeight="1">
      <c r="B35" s="20" t="s">
        <v>18</v>
      </c>
      <c r="C35" s="21"/>
      <c r="D35" s="4">
        <f t="shared" ref="D35:E35" si="1">SUM(D28:D34)</f>
        <v>368</v>
      </c>
      <c r="E35" s="4">
        <f t="shared" si="1"/>
        <v>0</v>
      </c>
      <c r="F35" s="26">
        <f>(E35/D35)*100</f>
        <v>0</v>
      </c>
      <c r="G35" s="16"/>
      <c r="H35" s="6"/>
    </row>
    <row r="36" spans="2:8" ht="29.25" customHeight="1">
      <c r="B36" s="20" t="s">
        <v>19</v>
      </c>
      <c r="C36" s="21"/>
      <c r="D36" s="4">
        <f t="shared" ref="D36:E36" si="2">SUM(D35,D27)</f>
        <v>1097</v>
      </c>
      <c r="E36" s="4">
        <f t="shared" si="2"/>
        <v>0</v>
      </c>
      <c r="F36" s="22">
        <f>(E36/D36)*100</f>
        <v>0</v>
      </c>
      <c r="G36" s="23"/>
      <c r="H36" s="6"/>
    </row>
    <row r="37" spans="2:8">
      <c r="B37" s="7" t="s">
        <v>20</v>
      </c>
      <c r="C37" s="27" t="s">
        <v>17</v>
      </c>
      <c r="D37" s="28">
        <v>6</v>
      </c>
      <c r="E37" s="28">
        <v>0</v>
      </c>
      <c r="F37" s="10">
        <f>(E37/D37)*100</f>
        <v>0</v>
      </c>
      <c r="G37" s="29">
        <f>((E37+E38)/(D37+D38))*100</f>
        <v>0</v>
      </c>
      <c r="H37" s="6"/>
    </row>
    <row r="38" spans="2:8">
      <c r="B38" s="13"/>
      <c r="C38" s="27" t="s">
        <v>7</v>
      </c>
      <c r="D38" s="28">
        <v>1</v>
      </c>
      <c r="E38" s="28">
        <v>0</v>
      </c>
      <c r="F38" s="10">
        <f>(E38/D38)*100</f>
        <v>0</v>
      </c>
      <c r="G38" s="30"/>
      <c r="H38" s="6"/>
    </row>
    <row r="39" spans="2:8">
      <c r="B39" s="7" t="s">
        <v>21</v>
      </c>
      <c r="C39" s="27" t="s">
        <v>17</v>
      </c>
      <c r="D39" s="28">
        <v>11</v>
      </c>
      <c r="E39" s="28">
        <v>0</v>
      </c>
      <c r="F39" s="10">
        <f>(E39/D39)*100</f>
        <v>0</v>
      </c>
      <c r="G39" s="29">
        <f>((E39+E40)/(D39+D40))*100</f>
        <v>0</v>
      </c>
      <c r="H39" s="6"/>
    </row>
    <row r="40" spans="2:8">
      <c r="B40" s="13"/>
      <c r="C40" s="27" t="s">
        <v>7</v>
      </c>
      <c r="D40" s="28">
        <v>3</v>
      </c>
      <c r="E40" s="28">
        <v>0</v>
      </c>
      <c r="F40" s="10">
        <f>(E40/D40)*100</f>
        <v>0</v>
      </c>
      <c r="G40" s="30"/>
    </row>
    <row r="41" spans="2:8" ht="31.5" customHeight="1">
      <c r="B41" s="20" t="s">
        <v>22</v>
      </c>
      <c r="C41" s="21"/>
      <c r="D41" s="4">
        <f t="shared" ref="D41:E41" si="3">SUM(D37:D40)</f>
        <v>21</v>
      </c>
      <c r="E41" s="4">
        <f t="shared" si="3"/>
        <v>0</v>
      </c>
      <c r="F41" s="31">
        <f>(E41/D41)*100</f>
        <v>0</v>
      </c>
      <c r="G41" s="32"/>
    </row>
    <row r="42" spans="2:8" ht="31.5" customHeight="1">
      <c r="B42" s="33" t="s">
        <v>23</v>
      </c>
      <c r="C42" s="33"/>
      <c r="D42" s="4">
        <f t="shared" ref="D42:E42" si="4">SUM(D36,D41)</f>
        <v>1118</v>
      </c>
      <c r="E42" s="4">
        <f t="shared" si="4"/>
        <v>0</v>
      </c>
      <c r="F42" s="31">
        <f>(E42/D42)*100</f>
        <v>0</v>
      </c>
      <c r="G42" s="32"/>
    </row>
    <row r="46" spans="2:8">
      <c r="F46" t="s">
        <v>24</v>
      </c>
    </row>
  </sheetData>
  <mergeCells count="33">
    <mergeCell ref="B42:C42"/>
    <mergeCell ref="F42:G42"/>
    <mergeCell ref="B37:B38"/>
    <mergeCell ref="G37:G38"/>
    <mergeCell ref="B39:B40"/>
    <mergeCell ref="G39:G40"/>
    <mergeCell ref="B41:C41"/>
    <mergeCell ref="F41:G41"/>
    <mergeCell ref="B27:C27"/>
    <mergeCell ref="F27:G27"/>
    <mergeCell ref="C28:C34"/>
    <mergeCell ref="G28:G35"/>
    <mergeCell ref="B35:C35"/>
    <mergeCell ref="B36:C36"/>
    <mergeCell ref="F36:G36"/>
    <mergeCell ref="B18:B20"/>
    <mergeCell ref="G18:G20"/>
    <mergeCell ref="B21:B23"/>
    <mergeCell ref="G21:G23"/>
    <mergeCell ref="B24:B26"/>
    <mergeCell ref="G24:G26"/>
    <mergeCell ref="B9:B11"/>
    <mergeCell ref="G9:G11"/>
    <mergeCell ref="B12:B14"/>
    <mergeCell ref="G12:G14"/>
    <mergeCell ref="B15:B17"/>
    <mergeCell ref="G15:G17"/>
    <mergeCell ref="A1:G1"/>
    <mergeCell ref="A2:G2"/>
    <mergeCell ref="A3:G3"/>
    <mergeCell ref="D4:E4"/>
    <mergeCell ref="B6:B8"/>
    <mergeCell ref="G6:G8"/>
  </mergeCells>
  <pageMargins left="0.7" right="0.7" top="0.43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 - 1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NSEC</dc:creator>
  <cp:lastModifiedBy>NSEC</cp:lastModifiedBy>
  <dcterms:created xsi:type="dcterms:W3CDTF">2026-08-20T08:12:52Z</dcterms:created>
  <dcterms:modified xsi:type="dcterms:W3CDTF">2026-08-20T08:21:15Z</dcterms:modified>
</cp:coreProperties>
</file>